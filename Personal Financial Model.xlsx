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ramos/Downloads/"/>
    </mc:Choice>
  </mc:AlternateContent>
  <xr:revisionPtr revIDLastSave="0" documentId="8_{D6305EAF-C181-8F47-88E6-D1DB3149F370}" xr6:coauthVersionLast="47" xr6:coauthVersionMax="47" xr10:uidLastSave="{00000000-0000-0000-0000-000000000000}"/>
  <bookViews>
    <workbookView xWindow="0" yWindow="660" windowWidth="29400" windowHeight="17040" activeTab="2" xr2:uid="{F62513C5-2BDD-884D-8588-82D8A7EB3455}"/>
  </bookViews>
  <sheets>
    <sheet name="Cover Page" sheetId="5" r:id="rId1"/>
    <sheet name="START Cover" sheetId="4" r:id="rId2"/>
    <sheet name="START Forecast" sheetId="3" r:id="rId3"/>
    <sheet name="END Cover" sheetId="2" r:id="rId4"/>
    <sheet name="END Forecast" sheetId="1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G4" i="3" s="1"/>
  <c r="K17" i="3"/>
  <c r="J17" i="3"/>
  <c r="I17" i="3"/>
  <c r="H17" i="3"/>
  <c r="H28" i="3"/>
  <c r="I28" i="3"/>
  <c r="J28" i="3"/>
  <c r="K28" i="3"/>
  <c r="H26" i="3"/>
  <c r="I26" i="3"/>
  <c r="J26" i="3"/>
  <c r="K26" i="3"/>
  <c r="G26" i="3"/>
  <c r="G28" i="3"/>
  <c r="G27" i="3"/>
  <c r="B2" i="3"/>
  <c r="E22" i="3"/>
  <c r="F22" i="3" s="1"/>
  <c r="G22" i="3" s="1"/>
  <c r="H22" i="3" s="1"/>
  <c r="I22" i="3" s="1"/>
  <c r="J22" i="3" s="1"/>
  <c r="K22" i="3" s="1"/>
  <c r="E21" i="3"/>
  <c r="F21" i="3"/>
  <c r="G21" i="3" s="1"/>
  <c r="D21" i="3"/>
  <c r="E20" i="3"/>
  <c r="F20" i="3"/>
  <c r="D20" i="3"/>
  <c r="G20" i="3" s="1"/>
  <c r="E19" i="3"/>
  <c r="F19" i="3"/>
  <c r="D19" i="3"/>
  <c r="E18" i="3"/>
  <c r="F18" i="3"/>
  <c r="D18" i="3"/>
  <c r="G18" i="3" s="1"/>
  <c r="F17" i="3"/>
  <c r="E17" i="3"/>
  <c r="E3" i="3"/>
  <c r="F3" i="3" s="1"/>
  <c r="G3" i="3" s="1"/>
  <c r="H3" i="3" s="1"/>
  <c r="I3" i="3" s="1"/>
  <c r="J3" i="3" s="1"/>
  <c r="K3" i="3" s="1"/>
  <c r="B2" i="4"/>
  <c r="H17" i="1"/>
  <c r="I17" i="1"/>
  <c r="J17" i="1"/>
  <c r="K17" i="1"/>
  <c r="G17" i="1"/>
  <c r="G4" i="1" s="1"/>
  <c r="H26" i="1"/>
  <c r="I26" i="1"/>
  <c r="J26" i="1"/>
  <c r="K26" i="1"/>
  <c r="H28" i="1"/>
  <c r="I28" i="1"/>
  <c r="J28" i="1"/>
  <c r="K28" i="1"/>
  <c r="G28" i="1"/>
  <c r="G26" i="1"/>
  <c r="B2" i="1"/>
  <c r="B2" i="2"/>
  <c r="E22" i="1"/>
  <c r="F22" i="1" s="1"/>
  <c r="G22" i="1" s="1"/>
  <c r="H22" i="1" s="1"/>
  <c r="I22" i="1" s="1"/>
  <c r="J22" i="1" s="1"/>
  <c r="K22" i="1" s="1"/>
  <c r="E21" i="1"/>
  <c r="F21" i="1"/>
  <c r="G21" i="1" s="1"/>
  <c r="D21" i="1"/>
  <c r="E19" i="1"/>
  <c r="F19" i="1"/>
  <c r="E20" i="1"/>
  <c r="F20" i="1"/>
  <c r="D20" i="1"/>
  <c r="G20" i="1" s="1"/>
  <c r="H20" i="1" s="1"/>
  <c r="I20" i="1" s="1"/>
  <c r="J20" i="1" s="1"/>
  <c r="K20" i="1" s="1"/>
  <c r="D19" i="1"/>
  <c r="G19" i="1" s="1"/>
  <c r="E18" i="1"/>
  <c r="F18" i="1"/>
  <c r="D18" i="1"/>
  <c r="G18" i="1" s="1"/>
  <c r="F17" i="1"/>
  <c r="E17" i="1"/>
  <c r="G27" i="1" s="1"/>
  <c r="E3" i="1"/>
  <c r="F3" i="1" s="1"/>
  <c r="G3" i="1" s="1"/>
  <c r="H3" i="1" s="1"/>
  <c r="I3" i="1" s="1"/>
  <c r="J3" i="1" s="1"/>
  <c r="K3" i="1" s="1"/>
  <c r="H4" i="3" l="1"/>
  <c r="I4" i="3" s="1"/>
  <c r="J4" i="3" s="1"/>
  <c r="K4" i="3" s="1"/>
  <c r="G19" i="3"/>
  <c r="H21" i="3"/>
  <c r="G10" i="3"/>
  <c r="H27" i="3"/>
  <c r="I27" i="3" s="1"/>
  <c r="J27" i="3" s="1"/>
  <c r="K27" i="3" s="1"/>
  <c r="G8" i="3"/>
  <c r="H20" i="3"/>
  <c r="H18" i="3"/>
  <c r="H19" i="3"/>
  <c r="H4" i="1"/>
  <c r="I4" i="1"/>
  <c r="J4" i="1" s="1"/>
  <c r="K4" i="1" s="1"/>
  <c r="H21" i="1"/>
  <c r="G10" i="1"/>
  <c r="H19" i="1"/>
  <c r="H18" i="1"/>
  <c r="H27" i="1"/>
  <c r="I27" i="1" s="1"/>
  <c r="J27" i="1" s="1"/>
  <c r="K27" i="1" s="1"/>
  <c r="G7" i="3" l="1"/>
  <c r="G5" i="3"/>
  <c r="G6" i="3" s="1"/>
  <c r="G9" i="3" s="1"/>
  <c r="G11" i="3" s="1"/>
  <c r="I21" i="3"/>
  <c r="H10" i="3"/>
  <c r="I19" i="3"/>
  <c r="I20" i="3"/>
  <c r="I18" i="3"/>
  <c r="H10" i="1"/>
  <c r="I21" i="1"/>
  <c r="I19" i="1"/>
  <c r="I18" i="1"/>
  <c r="G8" i="1"/>
  <c r="G5" i="1"/>
  <c r="G6" i="1" s="1"/>
  <c r="G7" i="1"/>
  <c r="J21" i="3" l="1"/>
  <c r="I10" i="3"/>
  <c r="I8" i="3"/>
  <c r="G12" i="3"/>
  <c r="G13" i="3" s="1"/>
  <c r="H5" i="3"/>
  <c r="H6" i="3" s="1"/>
  <c r="J18" i="3"/>
  <c r="H8" i="3"/>
  <c r="J20" i="3"/>
  <c r="J19" i="3"/>
  <c r="H7" i="3"/>
  <c r="G9" i="1"/>
  <c r="G11" i="1" s="1"/>
  <c r="G12" i="1" s="1"/>
  <c r="G13" i="1" s="1"/>
  <c r="H5" i="1"/>
  <c r="H6" i="1" s="1"/>
  <c r="H7" i="1"/>
  <c r="I10" i="1"/>
  <c r="J21" i="1"/>
  <c r="J19" i="1"/>
  <c r="J18" i="1"/>
  <c r="H8" i="1"/>
  <c r="I5" i="3" l="1"/>
  <c r="I6" i="3" s="1"/>
  <c r="I7" i="3"/>
  <c r="K21" i="3"/>
  <c r="K10" i="3" s="1"/>
  <c r="J10" i="3"/>
  <c r="H9" i="3"/>
  <c r="H11" i="3" s="1"/>
  <c r="H12" i="3" s="1"/>
  <c r="H13" i="3" s="1"/>
  <c r="K18" i="3"/>
  <c r="K19" i="3"/>
  <c r="K20" i="3"/>
  <c r="H9" i="1"/>
  <c r="H11" i="1" s="1"/>
  <c r="H12" i="1" s="1"/>
  <c r="H13" i="1" s="1"/>
  <c r="J10" i="1"/>
  <c r="K21" i="1"/>
  <c r="K10" i="1" s="1"/>
  <c r="K19" i="1"/>
  <c r="K18" i="1"/>
  <c r="I8" i="1"/>
  <c r="I7" i="1"/>
  <c r="I5" i="1"/>
  <c r="I6" i="1" s="1"/>
  <c r="I9" i="3" l="1"/>
  <c r="I11" i="3" s="1"/>
  <c r="I12" i="3" s="1"/>
  <c r="I13" i="3" s="1"/>
  <c r="K7" i="3"/>
  <c r="J7" i="3"/>
  <c r="J5" i="3"/>
  <c r="J6" i="3" s="1"/>
  <c r="J8" i="3"/>
  <c r="K8" i="3"/>
  <c r="I9" i="1"/>
  <c r="I11" i="1" s="1"/>
  <c r="J8" i="1"/>
  <c r="J7" i="1"/>
  <c r="J5" i="1"/>
  <c r="J6" i="1" s="1"/>
  <c r="K5" i="3" l="1"/>
  <c r="K6" i="3" s="1"/>
  <c r="K9" i="3" s="1"/>
  <c r="K11" i="3" s="1"/>
  <c r="J9" i="3"/>
  <c r="J11" i="3" s="1"/>
  <c r="J12" i="3" s="1"/>
  <c r="J13" i="3" s="1"/>
  <c r="I12" i="1"/>
  <c r="I13" i="1" s="1"/>
  <c r="J9" i="1"/>
  <c r="J11" i="1" s="1"/>
  <c r="J12" i="1" s="1"/>
  <c r="J13" i="1" s="1"/>
  <c r="K5" i="1"/>
  <c r="K6" i="1" s="1"/>
  <c r="K7" i="1"/>
  <c r="K8" i="1"/>
  <c r="K12" i="3" l="1"/>
  <c r="K13" i="3" s="1"/>
  <c r="K9" i="1"/>
  <c r="K11" i="1" s="1"/>
  <c r="K12" i="1" l="1"/>
  <c r="K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Ramos</author>
  </authors>
  <commentList>
    <comment ref="C6" authorId="0" shapeId="0" xr:uid="{A1731942-D953-AA4E-BEED-9F5ECAC783A5}">
      <text>
        <r>
          <rPr>
            <b/>
            <sz val="10"/>
            <color rgb="FF000000"/>
            <rFont val="Tahoma"/>
            <family val="2"/>
          </rPr>
          <t>Julian Ramos: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 = best case
</t>
        </r>
        <r>
          <rPr>
            <sz val="10"/>
            <color rgb="FF000000"/>
            <rFont val="Tahoma"/>
            <family val="2"/>
          </rPr>
          <t xml:space="preserve">2 = base case 
</t>
        </r>
        <r>
          <rPr>
            <sz val="10"/>
            <color rgb="FF000000"/>
            <rFont val="Tahoma"/>
            <family val="2"/>
          </rPr>
          <t>3 = worst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Career Principles</author>
  </authors>
  <commentList>
    <comment ref="C6" authorId="0" shapeId="0" xr:uid="{F41E1B8B-D785-4BB6-9BE9-000FECDA336D}">
      <text>
        <r>
          <rPr>
            <b/>
            <sz val="9"/>
            <color rgb="FF000000"/>
            <rFont val="Tahoma"/>
            <family val="2"/>
          </rPr>
          <t>Career Principles: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best case
</t>
        </r>
        <r>
          <rPr>
            <sz val="9"/>
            <color rgb="FF000000"/>
            <rFont val="Tahoma"/>
            <family val="2"/>
          </rPr>
          <t xml:space="preserve">2 = base case 
</t>
        </r>
        <r>
          <rPr>
            <sz val="9"/>
            <color rgb="FF000000"/>
            <rFont val="Tahoma"/>
            <family val="2"/>
          </rPr>
          <t>3 = worst case</t>
        </r>
      </text>
    </comment>
  </commentList>
</comments>
</file>

<file path=xl/sharedStrings.xml><?xml version="1.0" encoding="utf-8"?>
<sst xmlns="http://schemas.openxmlformats.org/spreadsheetml/2006/main" count="90" uniqueCount="56">
  <si>
    <t>General Settings</t>
  </si>
  <si>
    <t>Company Name</t>
  </si>
  <si>
    <t>Currency</t>
  </si>
  <si>
    <t>Last Update</t>
  </si>
  <si>
    <t>Contact</t>
  </si>
  <si>
    <t>Cover Page</t>
  </si>
  <si>
    <t>Income Statement</t>
  </si>
  <si>
    <t>Balance Sheet</t>
  </si>
  <si>
    <t>Cash Flow Statement</t>
  </si>
  <si>
    <t>Assumptions &amp; Drivers</t>
  </si>
  <si>
    <t>Live Scenario</t>
  </si>
  <si>
    <t>Table of Contents</t>
  </si>
  <si>
    <t>Scenario Analysis</t>
  </si>
  <si>
    <t>Alerts</t>
  </si>
  <si>
    <t>Company Ticker</t>
  </si>
  <si>
    <t>USD</t>
  </si>
  <si>
    <t>ABC</t>
  </si>
  <si>
    <t>Balance Sheet Balances?</t>
  </si>
  <si>
    <t>Johnson</t>
  </si>
  <si>
    <t>Revenue</t>
  </si>
  <si>
    <t>COGS</t>
  </si>
  <si>
    <t>Gross Profit</t>
  </si>
  <si>
    <t>Selling, general &amp; administrative</t>
  </si>
  <si>
    <t>Research &amp; development</t>
  </si>
  <si>
    <t>Operating income</t>
  </si>
  <si>
    <t>Other income / (expense), net</t>
  </si>
  <si>
    <t>Pre-tax income</t>
  </si>
  <si>
    <t>Taxes</t>
  </si>
  <si>
    <t>Net Income</t>
  </si>
  <si>
    <t>Income Statement Assumptions</t>
  </si>
  <si>
    <t>Revenue Growth Rate</t>
  </si>
  <si>
    <t>COGS as a % of Revenue</t>
  </si>
  <si>
    <t>SG&amp;A as % of Revenue</t>
  </si>
  <si>
    <t>R&amp;D as % of Revenue</t>
  </si>
  <si>
    <t>Tax Rate</t>
  </si>
  <si>
    <t>Nike</t>
  </si>
  <si>
    <t>Revenue Scenarios</t>
  </si>
  <si>
    <t>Best Case</t>
  </si>
  <si>
    <t>Base Case Case</t>
  </si>
  <si>
    <t>Worst Case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</si>
  <si>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</si>
  <si>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Complete Finance &amp; Valuation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</si>
  <si>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</si>
  <si>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</si>
  <si>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</si>
  <si>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</si>
  <si>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Financial Modeling</t>
  </si>
  <si>
    <t>Go to video file here</t>
  </si>
  <si>
    <t>SG&amp;A</t>
  </si>
  <si>
    <t>R&amp;D</t>
  </si>
  <si>
    <t>Operating Income</t>
  </si>
  <si>
    <t xml:space="preserve">Revenue Growth Rate </t>
  </si>
  <si>
    <t>SG&amp;A as a % of Revenue</t>
  </si>
  <si>
    <t xml:space="preserve">R&amp;D as a % of Revenue </t>
  </si>
  <si>
    <t xml:space="preserve">Tax Rate </t>
  </si>
  <si>
    <t>Base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</si>
</sst>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&quot;A&quot;"/>
    <numFmt numFmtId="166" formatCode="#&quot;E&quot;"/>
    <numFmt numFmtId="167" formatCode="####&quot;A&quot;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4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</cellStyleXfs>
  <cellXfs count="68">
    <xf numFmtId="0" fontId="0" fillId="0" borderId="0" xfId="0"/>
    <xf numFmtId="17" fontId="2" fillId="2" borderId="0" xfId="0" applyNumberFormat="1" applyFont="1" applyFill="1" applyAlignment="1">
      <alignment horizontal="left"/>
    </xf>
    <xf numFmtId="17" fontId="2" fillId="2" borderId="0" xfId="0" applyNumberFormat="1" applyFont="1" applyFill="1" applyAlignment="1">
      <alignment horizontal="center"/>
    </xf>
    <xf numFmtId="0" fontId="4" fillId="0" borderId="2" xfId="0" applyFont="1" applyBorder="1"/>
    <xf numFmtId="0" fontId="0" fillId="0" borderId="2" xfId="0" applyBorder="1"/>
    <xf numFmtId="17" fontId="2" fillId="0" borderId="0" xfId="0" applyNumberFormat="1" applyFont="1" applyAlignment="1">
      <alignment horizontal="left"/>
    </xf>
    <xf numFmtId="17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/>
    <xf numFmtId="164" fontId="1" fillId="0" borderId="0" xfId="1" applyNumberFormat="1" applyFont="1" applyFill="1" applyBorder="1" applyAlignment="1">
      <alignment horizontal="right"/>
    </xf>
    <xf numFmtId="164" fontId="1" fillId="0" borderId="0" xfId="1" applyNumberFormat="1" applyFont="1" applyFill="1" applyBorder="1"/>
    <xf numFmtId="17" fontId="2" fillId="4" borderId="0" xfId="0" applyNumberFormat="1" applyFont="1" applyFill="1" applyAlignment="1">
      <alignment horizontal="left"/>
    </xf>
    <xf numFmtId="17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17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3" xfId="0" applyFont="1" applyBorder="1"/>
    <xf numFmtId="3" fontId="3" fillId="0" borderId="3" xfId="0" applyNumberFormat="1" applyFont="1" applyBorder="1"/>
    <xf numFmtId="0" fontId="3" fillId="5" borderId="4" xfId="0" applyFont="1" applyFill="1" applyBorder="1"/>
    <xf numFmtId="3" fontId="3" fillId="5" borderId="4" xfId="0" applyNumberFormat="1" applyFont="1" applyFill="1" applyBorder="1"/>
    <xf numFmtId="3" fontId="6" fillId="0" borderId="0" xfId="0" applyNumberFormat="1" applyFont="1" applyProtection="1">
      <protection locked="0"/>
    </xf>
    <xf numFmtId="3" fontId="7" fillId="0" borderId="3" xfId="0" applyNumberFormat="1" applyFont="1" applyBorder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3" fontId="7" fillId="5" borderId="4" xfId="0" applyNumberFormat="1" applyFont="1" applyFill="1" applyBorder="1" applyProtection="1">
      <protection locked="0"/>
    </xf>
    <xf numFmtId="0" fontId="8" fillId="0" borderId="0" xfId="2"/>
    <xf numFmtId="164" fontId="0" fillId="0" borderId="0" xfId="1" applyNumberFormat="1" applyFont="1"/>
    <xf numFmtId="164" fontId="6" fillId="0" borderId="0" xfId="1" applyNumberFormat="1" applyFont="1" applyFill="1" applyBorder="1" applyProtection="1">
      <protection locked="0"/>
    </xf>
    <xf numFmtId="0" fontId="1" fillId="0" borderId="5" xfId="3" applyBorder="1"/>
    <xf numFmtId="0" fontId="9" fillId="0" borderId="6" xfId="3" applyFont="1" applyBorder="1" applyAlignment="1">
      <alignment horizontal="center" vertical="center"/>
    </xf>
    <xf numFmtId="0" fontId="1" fillId="0" borderId="7" xfId="3" applyBorder="1"/>
    <xf numFmtId="0" fontId="1" fillId="2" borderId="0" xfId="3" applyFill="1"/>
    <xf numFmtId="0" fontId="1" fillId="0" borderId="8" xfId="3" applyBorder="1"/>
    <xf numFmtId="0" fontId="9" fillId="0" borderId="0" xfId="3" applyFont="1" applyAlignment="1">
      <alignment horizontal="center" vertical="center"/>
    </xf>
    <xf numFmtId="0" fontId="1" fillId="0" borderId="9" xfId="3" applyBorder="1"/>
    <xf numFmtId="0" fontId="1" fillId="0" borderId="0" xfId="3"/>
    <xf numFmtId="0" fontId="10" fillId="0" borderId="0" xfId="3" applyFont="1" applyAlignment="1">
      <alignment horizontal="center"/>
    </xf>
    <xf numFmtId="0" fontId="1" fillId="0" borderId="8" xfId="3" applyBorder="1" applyAlignment="1">
      <alignment vertical="center"/>
    </xf>
    <xf numFmtId="0" fontId="12" fillId="3" borderId="10" xfId="2" applyFont="1" applyFill="1" applyBorder="1" applyAlignment="1">
      <alignment horizontal="center" vertical="center"/>
    </xf>
    <xf numFmtId="0" fontId="1" fillId="0" borderId="9" xfId="3" applyBorder="1" applyAlignment="1">
      <alignment vertical="center"/>
    </xf>
    <xf numFmtId="0" fontId="1" fillId="2" borderId="0" xfId="3" applyFill="1" applyAlignment="1">
      <alignment vertical="center"/>
    </xf>
    <xf numFmtId="0" fontId="13" fillId="0" borderId="0" xfId="4" applyFont="1" applyFill="1" applyBorder="1"/>
    <xf numFmtId="0" fontId="14" fillId="0" borderId="11" xfId="3" applyFont="1" applyBorder="1"/>
    <xf numFmtId="0" fontId="1" fillId="0" borderId="0" xfId="3" applyAlignment="1">
      <alignment vertical="top" wrapText="1"/>
    </xf>
    <xf numFmtId="0" fontId="1" fillId="0" borderId="12" xfId="3" applyBorder="1"/>
    <xf numFmtId="0" fontId="1" fillId="0" borderId="11" xfId="3" applyBorder="1"/>
    <xf numFmtId="0" fontId="1" fillId="0" borderId="13" xfId="3" applyBorder="1"/>
    <xf numFmtId="17" fontId="5" fillId="6" borderId="0" xfId="0" applyNumberFormat="1" applyFont="1" applyFill="1" applyAlignment="1">
      <alignment horizontal="left"/>
    </xf>
    <xf numFmtId="17" fontId="2" fillId="6" borderId="0" xfId="0" applyNumberFormat="1" applyFont="1" applyFill="1" applyAlignment="1">
      <alignment horizontal="center"/>
    </xf>
    <xf numFmtId="167" fontId="2" fillId="6" borderId="0" xfId="0" applyNumberFormat="1" applyFont="1" applyFill="1" applyAlignment="1">
      <alignment horizontal="right"/>
    </xf>
    <xf numFmtId="166" fontId="2" fillId="6" borderId="0" xfId="0" applyNumberFormat="1" applyFont="1" applyFill="1" applyAlignment="1">
      <alignment horizontal="right"/>
    </xf>
    <xf numFmtId="17" fontId="0" fillId="7" borderId="0" xfId="0" applyNumberFormat="1" applyFill="1" applyAlignment="1">
      <alignment horizontal="center"/>
    </xf>
    <xf numFmtId="3" fontId="0" fillId="0" borderId="3" xfId="0" applyNumberFormat="1" applyBorder="1"/>
    <xf numFmtId="3" fontId="0" fillId="0" borderId="3" xfId="0" applyNumberFormat="1" applyBorder="1" applyProtection="1">
      <protection locked="0"/>
    </xf>
    <xf numFmtId="0" fontId="3" fillId="8" borderId="4" xfId="0" applyFont="1" applyFill="1" applyBorder="1"/>
    <xf numFmtId="3" fontId="3" fillId="8" borderId="4" xfId="0" applyNumberFormat="1" applyFont="1" applyFill="1" applyBorder="1"/>
    <xf numFmtId="17" fontId="5" fillId="9" borderId="0" xfId="0" applyNumberFormat="1" applyFont="1" applyFill="1" applyAlignment="1">
      <alignment horizontal="left"/>
    </xf>
    <xf numFmtId="17" fontId="5" fillId="9" borderId="0" xfId="0" applyNumberFormat="1" applyFont="1" applyFill="1" applyAlignment="1">
      <alignment horizontal="center"/>
    </xf>
    <xf numFmtId="17" fontId="3" fillId="7" borderId="0" xfId="0" applyNumberFormat="1" applyFont="1" applyFill="1" applyAlignment="1">
      <alignment horizontal="left"/>
    </xf>
    <xf numFmtId="17" fontId="2" fillId="9" borderId="0" xfId="0" applyNumberFormat="1" applyFont="1" applyFill="1" applyAlignment="1">
      <alignment horizontal="left"/>
    </xf>
    <xf numFmtId="164" fontId="15" fillId="0" borderId="0" xfId="1" applyNumberFormat="1" applyFont="1" applyFill="1" applyBorder="1" applyProtection="1">
      <protection locked="0"/>
    </xf>
  </cellXfs>
  <cellStyles count="5">
    <cellStyle name="Hyperlink" xfId="2" builtinId="8"/>
    <cellStyle name="Hyperlink 2" xfId="4" xr:uid="{E698F24F-AEC7-E544-BC65-447220AFDFDD}"/>
    <cellStyle name="Normal" xfId="0" builtinId="0"/>
    <cellStyle name="Normal 2" xfId="3" xr:uid="{DB06D14B-3B59-7E45-8BFB-1FD162A27B70}"/>
    <cellStyle name="Percent" xfId="1" builtinId="5"/>
  </cellStyles>
  <dxfs count="0"/>
  <tableStyles count="0" defaultTableStyle="TableStyleMedium2" defaultPivotStyle="PivotStyleLight16"/>
  <colors>
    <mruColors>
      <color rgb="FF0000FF"/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A0A4E4-D4EF-C04D-A353-3D6A32023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finance-valuation-cours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3DDA-E060-2C49-A3AC-E29B02CC559E}">
  <dimension ref="B3:D18"/>
  <sheetViews>
    <sheetView showGridLines="0" zoomScale="130" zoomScaleNormal="130" workbookViewId="0">
      <selection activeCell="C13" sqref="C13:C14"/>
    </sheetView>
  </sheetViews>
  <sheetFormatPr baseColWidth="10" defaultColWidth="10.83203125" defaultRowHeight="16" x14ac:dyDescent="0.2"/>
  <cols>
    <col min="1" max="1" width="10.83203125" style="38"/>
    <col min="2" max="2" width="8.5" style="38" customWidth="1"/>
    <col min="3" max="3" width="95.6640625" style="38" customWidth="1"/>
    <col min="4" max="4" width="9.5" style="38" customWidth="1"/>
    <col min="5" max="16384" width="10.83203125" style="38"/>
  </cols>
  <sheetData>
    <row r="3" spans="2:4" ht="77" x14ac:dyDescent="0.2">
      <c r="B3" s="35"/>
      <c r="C3" s="36" t="s">
        <v>46</v>
      </c>
      <c r="D3" s="37"/>
    </row>
    <row r="4" spans="2:4" ht="42" customHeight="1" x14ac:dyDescent="0.2">
      <c r="B4" s="39"/>
      <c r="C4" s="40"/>
      <c r="D4" s="41"/>
    </row>
    <row r="5" spans="2:4" ht="32" customHeight="1" x14ac:dyDescent="0.2">
      <c r="B5" s="39"/>
      <c r="C5" s="40"/>
      <c r="D5" s="41"/>
    </row>
    <row r="6" spans="2:4" ht="11" customHeight="1" x14ac:dyDescent="0.2">
      <c r="B6" s="39"/>
      <c r="C6" s="42"/>
      <c r="D6" s="41"/>
    </row>
    <row r="7" spans="2:4" ht="21" x14ac:dyDescent="0.25">
      <c r="B7" s="39"/>
      <c r="C7" s="43" t="s">
        <v>40</v>
      </c>
      <c r="D7" s="41"/>
    </row>
    <row r="8" spans="2:4" ht="11" customHeight="1" x14ac:dyDescent="0.2">
      <c r="B8" s="39"/>
      <c r="C8" s="42"/>
      <c r="D8" s="41"/>
    </row>
    <row r="9" spans="2:4" s="47" customFormat="1" ht="26" x14ac:dyDescent="0.2">
      <c r="B9" s="44"/>
      <c r="C9" s="45" t="s">
        <v>41</v>
      </c>
      <c r="D9" s="46"/>
    </row>
    <row r="10" spans="2:4" x14ac:dyDescent="0.2">
      <c r="B10" s="39"/>
      <c r="C10" s="42"/>
      <c r="D10" s="41"/>
    </row>
    <row r="11" spans="2:4" x14ac:dyDescent="0.2">
      <c r="B11" s="39"/>
      <c r="C11" s="32" t="s">
        <v>47</v>
      </c>
      <c r="D11" s="41"/>
    </row>
    <row r="12" spans="2:4" ht="6" customHeight="1" x14ac:dyDescent="0.2">
      <c r="B12" s="39"/>
      <c r="C12" s="42"/>
      <c r="D12" s="41"/>
    </row>
    <row r="13" spans="2:4" ht="19" x14ac:dyDescent="0.25">
      <c r="B13" s="39"/>
      <c r="C13" s="48" t="s">
        <v>42</v>
      </c>
      <c r="D13" s="41"/>
    </row>
    <row r="14" spans="2:4" ht="8" customHeight="1" x14ac:dyDescent="0.2">
      <c r="B14" s="39"/>
      <c r="C14" s="42"/>
      <c r="D14" s="41"/>
    </row>
    <row r="15" spans="2:4" x14ac:dyDescent="0.2">
      <c r="B15" s="39"/>
      <c r="C15" s="49" t="s">
        <v>43</v>
      </c>
      <c r="D15" s="41"/>
    </row>
    <row r="16" spans="2:4" x14ac:dyDescent="0.2">
      <c r="B16" s="39"/>
      <c r="C16" s="42" t="s">
        <v>44</v>
      </c>
      <c r="D16" s="41"/>
    </row>
    <row r="17" spans="2:4" ht="34" x14ac:dyDescent="0.2">
      <c r="B17" s="39"/>
      <c r="C17" s="50" t="s">
        <v>45</v>
      </c>
      <c r="D17" s="41"/>
    </row>
    <row r="18" spans="2:4" x14ac:dyDescent="0.2">
      <c r="B18" s="51"/>
      <c r="C18" s="52"/>
      <c r="D18" s="53"/>
    </row>
  </sheetData>
  <sheetProtection algorithmName="SHA-512" hashValue="dvSKHvdRLhDmbzILAKCJRH7FwwQnQmOSttNKQ64n9+Lyx7VX/dCW/dT2fXBMHDB4pwQgE2Nv38MSAau4ue6rmQ==" saltValue="7QvuO8kGylj7G9z4Brsh9A==" spinCount="100000" sheet="1" objects="1" scenarios="1"/>
  <hyperlinks>
    <hyperlink ref="C13" r:id="rId1" display="Made by Kenji Explains" xr:uid="{DD586F5E-F3A2-4B41-AE81-AF515D3149CA}"/>
    <hyperlink ref="C9" r:id="rId2" display="Get our Excel for Business &amp; Finance Course" xr:uid="{C46DE508-14CA-3249-9B4B-82640415E2C5}"/>
    <hyperlink ref="C11" location="'START Forecast'!A1" display="Go to video file here" xr:uid="{5FAAE903-58D3-A44B-9FAA-F4D48E7D11DB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7A26-C6F6-C846-8868-1886E3F2BC74}">
  <dimension ref="B2:I10"/>
  <sheetViews>
    <sheetView zoomScale="115" zoomScaleNormal="115" workbookViewId="0">
      <selection activeCell="C7" sqref="C7"/>
    </sheetView>
  </sheetViews>
  <sheetFormatPr baseColWidth="10" defaultColWidth="11.1640625" defaultRowHeight="16" x14ac:dyDescent="0.2"/>
  <cols>
    <col min="1" max="1" width="3.5" customWidth="1"/>
    <col min="2" max="2" width="21.6640625" customWidth="1"/>
    <col min="4" max="4" width="7.6640625" customWidth="1"/>
    <col min="5" max="5" width="14.83203125" bestFit="1" customWidth="1"/>
    <col min="7" max="7" width="7.5" customWidth="1"/>
    <col min="8" max="8" width="19.83203125" bestFit="1" customWidth="1"/>
    <col min="9" max="9" width="3.83203125" customWidth="1"/>
  </cols>
  <sheetData>
    <row r="2" spans="2:9" ht="37" x14ac:dyDescent="0.45">
      <c r="B2" s="3" t="str">
        <f>F6&amp;" Financial Model"</f>
        <v>Nike Financial Model</v>
      </c>
      <c r="C2" s="4"/>
      <c r="D2" s="4"/>
      <c r="E2" s="4"/>
      <c r="F2" s="4"/>
      <c r="G2" s="4"/>
      <c r="H2" s="4"/>
      <c r="I2" s="4"/>
    </row>
    <row r="4" spans="2:9" x14ac:dyDescent="0.2">
      <c r="B4" s="1" t="s">
        <v>12</v>
      </c>
      <c r="C4" s="2"/>
      <c r="E4" s="1" t="s">
        <v>0</v>
      </c>
      <c r="F4" s="2"/>
      <c r="H4" s="1" t="s">
        <v>11</v>
      </c>
      <c r="I4" s="2"/>
    </row>
    <row r="5" spans="2:9" ht="9" customHeight="1" x14ac:dyDescent="0.2">
      <c r="B5" s="5"/>
      <c r="C5" s="6"/>
      <c r="E5" s="5"/>
      <c r="F5" s="6"/>
      <c r="H5" s="5"/>
      <c r="I5" s="6"/>
    </row>
    <row r="6" spans="2:9" x14ac:dyDescent="0.2">
      <c r="B6" t="s">
        <v>10</v>
      </c>
      <c r="C6" s="9">
        <v>1</v>
      </c>
      <c r="E6" t="s">
        <v>1</v>
      </c>
      <c r="F6" s="7" t="s">
        <v>35</v>
      </c>
      <c r="H6" t="s">
        <v>5</v>
      </c>
      <c r="I6" s="8"/>
    </row>
    <row r="7" spans="2:9" x14ac:dyDescent="0.2">
      <c r="E7" t="s">
        <v>14</v>
      </c>
      <c r="F7" s="7" t="s">
        <v>16</v>
      </c>
      <c r="H7" s="32" t="s">
        <v>6</v>
      </c>
    </row>
    <row r="8" spans="2:9" x14ac:dyDescent="0.2">
      <c r="B8" s="1" t="s">
        <v>13</v>
      </c>
      <c r="C8" s="2"/>
      <c r="E8" t="s">
        <v>2</v>
      </c>
      <c r="F8" s="7" t="s">
        <v>15</v>
      </c>
      <c r="H8" t="s">
        <v>7</v>
      </c>
    </row>
    <row r="9" spans="2:9" x14ac:dyDescent="0.2">
      <c r="B9" s="5"/>
      <c r="C9" s="6"/>
      <c r="E9" t="s">
        <v>3</v>
      </c>
      <c r="F9" s="11">
        <v>45870</v>
      </c>
      <c r="H9" t="s">
        <v>8</v>
      </c>
    </row>
    <row r="10" spans="2:9" x14ac:dyDescent="0.2">
      <c r="B10" t="s">
        <v>17</v>
      </c>
      <c r="C10" s="10"/>
      <c r="E10" t="s">
        <v>4</v>
      </c>
      <c r="F10" s="7" t="s">
        <v>18</v>
      </c>
      <c r="H10" t="s">
        <v>9</v>
      </c>
    </row>
  </sheetData>
  <dataValidations count="1">
    <dataValidation type="list" allowBlank="1" showInputMessage="1" showErrorMessage="1" sqref="C6" xr:uid="{E6ADCCA7-0211-E940-9C7A-3B05167D4288}">
      <formula1>"1,2,3"</formula1>
    </dataValidation>
  </dataValidations>
  <hyperlinks>
    <hyperlink ref="H7" location="'START Forecast'!A1" display="Income Statement" xr:uid="{FC906170-2165-F647-BFF8-ACC725B8C900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F2AF-9A38-1F4A-B90B-A0C23C5E10E2}">
  <dimension ref="B2:L30"/>
  <sheetViews>
    <sheetView tabSelected="1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3" sqref="D3"/>
    </sheetView>
  </sheetViews>
  <sheetFormatPr baseColWidth="10" defaultColWidth="11.1640625" defaultRowHeight="16" outlineLevelRow="1" outlineLevelCol="1" x14ac:dyDescent="0.2"/>
  <cols>
    <col min="1" max="1" width="5.1640625" customWidth="1"/>
    <col min="2" max="2" width="28.83203125" bestFit="1" customWidth="1"/>
    <col min="3" max="3" width="7.6640625" customWidth="1"/>
    <col min="5" max="5" width="11" customWidth="1"/>
    <col min="7" max="11" width="10.83203125" customWidth="1" outlineLevel="1"/>
  </cols>
  <sheetData>
    <row r="2" spans="2:12" x14ac:dyDescent="0.2">
      <c r="B2" s="65" t="str">
        <f>"Income Statement of "&amp;'START Cover'!F6</f>
        <v>Income Statement of Nike</v>
      </c>
      <c r="C2" s="58"/>
      <c r="D2" s="58"/>
      <c r="E2" s="58"/>
      <c r="F2" s="58"/>
      <c r="G2" s="58"/>
      <c r="H2" s="58"/>
      <c r="I2" s="58"/>
      <c r="J2" s="58"/>
      <c r="K2" s="58"/>
    </row>
    <row r="3" spans="2:12" x14ac:dyDescent="0.2">
      <c r="B3" s="54"/>
      <c r="C3" s="55"/>
      <c r="D3" s="56">
        <v>2023</v>
      </c>
      <c r="E3" s="56">
        <f>D3+1</f>
        <v>2024</v>
      </c>
      <c r="F3" s="56">
        <f t="shared" ref="F3:K3" si="0">E3+1</f>
        <v>2025</v>
      </c>
      <c r="G3" s="57">
        <f t="shared" si="0"/>
        <v>2026</v>
      </c>
      <c r="H3" s="57">
        <f t="shared" si="0"/>
        <v>2027</v>
      </c>
      <c r="I3" s="57">
        <f t="shared" si="0"/>
        <v>2028</v>
      </c>
      <c r="J3" s="57">
        <f t="shared" si="0"/>
        <v>2029</v>
      </c>
      <c r="K3" s="57">
        <f t="shared" si="0"/>
        <v>2030</v>
      </c>
    </row>
    <row r="4" spans="2:12" x14ac:dyDescent="0.2">
      <c r="B4" t="s">
        <v>19</v>
      </c>
      <c r="C4" s="12"/>
      <c r="D4" s="27">
        <v>5210</v>
      </c>
      <c r="E4" s="27">
        <v>5435</v>
      </c>
      <c r="F4" s="27">
        <v>5710</v>
      </c>
      <c r="G4" s="12">
        <f>F4*(1+G17)</f>
        <v>6091.9537668166968</v>
      </c>
      <c r="H4" s="12">
        <f t="shared" ref="H4:K4" si="1">G4*(1+H17)</f>
        <v>6499.4572148917941</v>
      </c>
      <c r="I4" s="12">
        <f t="shared" si="1"/>
        <v>6934.2194155033321</v>
      </c>
      <c r="J4" s="12">
        <f t="shared" si="1"/>
        <v>7398.0637632590197</v>
      </c>
      <c r="K4" s="12">
        <f t="shared" si="1"/>
        <v>7892.9356234213474</v>
      </c>
    </row>
    <row r="5" spans="2:12" x14ac:dyDescent="0.2">
      <c r="B5" t="s">
        <v>20</v>
      </c>
      <c r="C5" s="12"/>
      <c r="D5" s="27">
        <v>3345</v>
      </c>
      <c r="E5" s="27">
        <v>3350</v>
      </c>
      <c r="F5" s="27">
        <v>3551</v>
      </c>
      <c r="G5" s="12">
        <f>G18*G4</f>
        <v>3818.2362211336704</v>
      </c>
      <c r="H5" s="12">
        <f t="shared" ref="H5:K5" si="2">H18*H4</f>
        <v>4073.6459772208786</v>
      </c>
      <c r="I5" s="12">
        <f t="shared" si="2"/>
        <v>4346.1406226984973</v>
      </c>
      <c r="J5" s="12">
        <f t="shared" si="2"/>
        <v>4636.8630013245493</v>
      </c>
      <c r="K5" s="12">
        <f t="shared" si="2"/>
        <v>4947.0324040511496</v>
      </c>
    </row>
    <row r="6" spans="2:12" x14ac:dyDescent="0.2">
      <c r="B6" s="23" t="s">
        <v>21</v>
      </c>
      <c r="C6" s="59"/>
      <c r="D6" s="28">
        <v>1865</v>
      </c>
      <c r="E6" s="28">
        <v>2085</v>
      </c>
      <c r="F6" s="28">
        <v>2159</v>
      </c>
      <c r="G6" s="24">
        <f>G4-G5</f>
        <v>2273.7175456830264</v>
      </c>
      <c r="H6" s="24">
        <f t="shared" ref="H6:K6" si="3">H4-H5</f>
        <v>2425.8112376709155</v>
      </c>
      <c r="I6" s="24">
        <f t="shared" si="3"/>
        <v>2588.0787928048348</v>
      </c>
      <c r="J6" s="24">
        <f t="shared" si="3"/>
        <v>2761.2007619344704</v>
      </c>
      <c r="K6" s="24">
        <f t="shared" si="3"/>
        <v>2945.9032193701978</v>
      </c>
    </row>
    <row r="7" spans="2:12" x14ac:dyDescent="0.2">
      <c r="B7" t="s">
        <v>48</v>
      </c>
      <c r="D7" s="29">
        <v>850</v>
      </c>
      <c r="E7" s="29">
        <v>870</v>
      </c>
      <c r="F7" s="29">
        <v>900</v>
      </c>
      <c r="G7" s="12">
        <f>G19*G4</f>
        <v>976.41754443518175</v>
      </c>
      <c r="H7" s="12">
        <f t="shared" ref="H7:K7" si="4">H19*H4</f>
        <v>1041.7321432237854</v>
      </c>
      <c r="I7" s="12">
        <f t="shared" si="4"/>
        <v>1111.4157712655292</v>
      </c>
      <c r="J7" s="12">
        <f t="shared" si="4"/>
        <v>1185.7606820070973</v>
      </c>
      <c r="K7" s="12">
        <f t="shared" si="4"/>
        <v>1265.0786783355993</v>
      </c>
      <c r="L7" s="12"/>
    </row>
    <row r="8" spans="2:12" x14ac:dyDescent="0.2">
      <c r="B8" t="s">
        <v>49</v>
      </c>
      <c r="C8" s="13"/>
      <c r="D8" s="30">
        <v>400</v>
      </c>
      <c r="E8" s="30">
        <v>420</v>
      </c>
      <c r="F8" s="30">
        <v>400</v>
      </c>
      <c r="G8" s="13">
        <f>G20*G4</f>
        <v>455.07885634515975</v>
      </c>
      <c r="H8" s="13">
        <f t="shared" ref="H8:K8" si="5">H20*H4</f>
        <v>485.52002681445373</v>
      </c>
      <c r="I8" s="13">
        <f t="shared" si="5"/>
        <v>517.99747044085029</v>
      </c>
      <c r="J8" s="13">
        <f t="shared" si="5"/>
        <v>552.64739776771614</v>
      </c>
      <c r="K8" s="13">
        <f t="shared" si="5"/>
        <v>589.61513074474317</v>
      </c>
      <c r="L8" s="13"/>
    </row>
    <row r="9" spans="2:12" x14ac:dyDescent="0.2">
      <c r="B9" s="23" t="s">
        <v>50</v>
      </c>
      <c r="C9" s="59"/>
      <c r="D9" s="28">
        <v>615</v>
      </c>
      <c r="E9" s="28">
        <v>795</v>
      </c>
      <c r="F9" s="28">
        <v>859</v>
      </c>
      <c r="G9" s="24">
        <f>G6-G7-G8</f>
        <v>842.22114490268496</v>
      </c>
      <c r="H9" s="24">
        <f t="shared" ref="H9:K9" si="6">H6-H7-H8</f>
        <v>898.55906763267626</v>
      </c>
      <c r="I9" s="24">
        <f t="shared" si="6"/>
        <v>958.66555109845535</v>
      </c>
      <c r="J9" s="24">
        <f t="shared" si="6"/>
        <v>1022.7926821596569</v>
      </c>
      <c r="K9" s="24">
        <f t="shared" si="6"/>
        <v>1091.2094102898554</v>
      </c>
    </row>
    <row r="10" spans="2:12" x14ac:dyDescent="0.2">
      <c r="B10" t="s">
        <v>25</v>
      </c>
      <c r="C10" s="12"/>
      <c r="D10" s="27">
        <v>50</v>
      </c>
      <c r="E10" s="27">
        <v>50</v>
      </c>
      <c r="F10" s="27">
        <v>50</v>
      </c>
      <c r="G10" s="12">
        <f>G21</f>
        <v>50</v>
      </c>
      <c r="H10" s="12">
        <f t="shared" ref="H10:K10" si="7">H21</f>
        <v>50</v>
      </c>
      <c r="I10" s="12">
        <f t="shared" si="7"/>
        <v>50</v>
      </c>
      <c r="J10" s="12">
        <f t="shared" si="7"/>
        <v>50</v>
      </c>
      <c r="K10" s="12">
        <f t="shared" si="7"/>
        <v>50</v>
      </c>
    </row>
    <row r="11" spans="2:12" x14ac:dyDescent="0.2">
      <c r="B11" s="23" t="s">
        <v>26</v>
      </c>
      <c r="C11" s="59"/>
      <c r="D11" s="28">
        <v>565</v>
      </c>
      <c r="E11" s="28">
        <v>745</v>
      </c>
      <c r="F11" s="28">
        <v>809</v>
      </c>
      <c r="G11" s="24">
        <f>G9-G10</f>
        <v>792.22114490268496</v>
      </c>
      <c r="H11" s="24">
        <f t="shared" ref="H11:K11" si="8">H9-H10</f>
        <v>848.55906763267626</v>
      </c>
      <c r="I11" s="24">
        <f t="shared" si="8"/>
        <v>908.66555109845535</v>
      </c>
      <c r="J11" s="24">
        <f t="shared" si="8"/>
        <v>972.79268215965692</v>
      </c>
      <c r="K11" s="24">
        <f t="shared" si="8"/>
        <v>1041.2094102898554</v>
      </c>
    </row>
    <row r="12" spans="2:12" x14ac:dyDescent="0.2">
      <c r="B12" t="s">
        <v>27</v>
      </c>
      <c r="C12" s="12"/>
      <c r="D12" s="27">
        <v>227.5</v>
      </c>
      <c r="E12" s="27">
        <v>186.25</v>
      </c>
      <c r="F12" s="27">
        <v>147.25</v>
      </c>
      <c r="G12" s="12">
        <f>G11*G22</f>
        <v>198.05528622567124</v>
      </c>
      <c r="H12" s="12">
        <f t="shared" ref="H12:K12" si="9">H11*H22</f>
        <v>212.13976690816907</v>
      </c>
      <c r="I12" s="12">
        <f t="shared" si="9"/>
        <v>227.16638777461384</v>
      </c>
      <c r="J12" s="12">
        <f t="shared" si="9"/>
        <v>243.19817053991423</v>
      </c>
      <c r="K12" s="12">
        <f t="shared" si="9"/>
        <v>260.30235257246386</v>
      </c>
    </row>
    <row r="13" spans="2:12" x14ac:dyDescent="0.2">
      <c r="B13" s="61" t="s">
        <v>28</v>
      </c>
      <c r="C13" s="62"/>
      <c r="D13" s="31">
        <v>337.5</v>
      </c>
      <c r="E13" s="31">
        <v>558.75</v>
      </c>
      <c r="F13" s="31">
        <v>661.75</v>
      </c>
      <c r="G13" s="62">
        <f>G11-G12</f>
        <v>594.16585867701372</v>
      </c>
      <c r="H13" s="62">
        <f t="shared" ref="H13:K13" si="10">H11-H12</f>
        <v>636.41930072450714</v>
      </c>
      <c r="I13" s="62">
        <f t="shared" si="10"/>
        <v>681.49916332384146</v>
      </c>
      <c r="J13" s="62">
        <f t="shared" si="10"/>
        <v>729.59451161974266</v>
      </c>
      <c r="K13" s="62">
        <f t="shared" si="10"/>
        <v>780.90705771739158</v>
      </c>
    </row>
    <row r="16" spans="2:12" x14ac:dyDescent="0.2">
      <c r="B16" s="66" t="s">
        <v>29</v>
      </c>
      <c r="C16" s="64"/>
      <c r="D16" s="64"/>
      <c r="E16" s="64"/>
      <c r="F16" s="64"/>
      <c r="G16" s="64"/>
      <c r="H16" s="64"/>
      <c r="I16" s="64"/>
      <c r="J16" s="63"/>
      <c r="K16" s="64"/>
    </row>
    <row r="17" spans="2:12" outlineLevel="1" x14ac:dyDescent="0.2">
      <c r="B17" t="s">
        <v>51</v>
      </c>
      <c r="D17" s="13"/>
      <c r="E17" s="15">
        <f>E4/D4-1</f>
        <v>4.3186180422264853E-2</v>
      </c>
      <c r="F17" s="15">
        <f>F4/E4-1</f>
        <v>5.059797608095673E-2</v>
      </c>
      <c r="G17" s="33">
        <f>CHOOSE('START Cover'!$C$6,'START Forecast'!G26,'START Forecast'!G27,'START Forecast'!G28)</f>
        <v>6.6892078251610795E-2</v>
      </c>
      <c r="H17" s="33">
        <f>CHOOSE('START Cover'!$C$6,'START Forecast'!H26,'START Forecast'!H27,'START Forecast'!H28)</f>
        <v>6.6892078251610795E-2</v>
      </c>
      <c r="I17" s="33">
        <f>CHOOSE('START Cover'!$C$6,'START Forecast'!I26,'START Forecast'!I27,'START Forecast'!I28)</f>
        <v>6.6892078251610795E-2</v>
      </c>
      <c r="J17" s="33">
        <f>CHOOSE('START Cover'!$C$6,'START Forecast'!J26,'START Forecast'!J27,'START Forecast'!J28)</f>
        <v>6.6892078251610795E-2</v>
      </c>
      <c r="K17" s="33">
        <f>CHOOSE('START Cover'!$C$6,'START Forecast'!K26,'START Forecast'!K27,'START Forecast'!K28)</f>
        <v>6.6892078251610795E-2</v>
      </c>
    </row>
    <row r="18" spans="2:12" outlineLevel="1" x14ac:dyDescent="0.2">
      <c r="B18" t="s">
        <v>31</v>
      </c>
      <c r="D18" s="15">
        <f>D5/D4</f>
        <v>0.64203454894433776</v>
      </c>
      <c r="E18" s="15">
        <f t="shared" ref="E18:F18" si="11">E5/E4</f>
        <v>0.6163753449862005</v>
      </c>
      <c r="F18" s="15">
        <f t="shared" si="11"/>
        <v>0.62189141856392294</v>
      </c>
      <c r="G18" s="15">
        <f>AVERAGE(D18:F18)</f>
        <v>0.6267671041648204</v>
      </c>
      <c r="H18" s="15">
        <f>G18</f>
        <v>0.6267671041648204</v>
      </c>
      <c r="I18" s="15">
        <f t="shared" ref="I18:K18" si="12">H18</f>
        <v>0.6267671041648204</v>
      </c>
      <c r="J18" s="15">
        <f t="shared" si="12"/>
        <v>0.6267671041648204</v>
      </c>
      <c r="K18" s="15">
        <f t="shared" si="12"/>
        <v>0.6267671041648204</v>
      </c>
    </row>
    <row r="19" spans="2:12" outlineLevel="1" x14ac:dyDescent="0.2">
      <c r="B19" t="s">
        <v>52</v>
      </c>
      <c r="D19" s="15">
        <f>D7/D4</f>
        <v>0.16314779270633398</v>
      </c>
      <c r="E19" s="15">
        <f t="shared" ref="E19:F19" si="13">E7/E4</f>
        <v>0.16007359705611776</v>
      </c>
      <c r="F19" s="15">
        <f t="shared" si="13"/>
        <v>0.15761821366024517</v>
      </c>
      <c r="G19" s="15">
        <f t="shared" ref="G19:G20" si="14">AVERAGE(D19:F19)</f>
        <v>0.16027986780756565</v>
      </c>
      <c r="H19" s="15">
        <f t="shared" ref="H19:K20" si="15">G19</f>
        <v>0.16027986780756565</v>
      </c>
      <c r="I19" s="15">
        <f t="shared" si="15"/>
        <v>0.16027986780756565</v>
      </c>
      <c r="J19" s="15">
        <f t="shared" si="15"/>
        <v>0.16027986780756565</v>
      </c>
      <c r="K19" s="15">
        <f t="shared" si="15"/>
        <v>0.16027986780756565</v>
      </c>
    </row>
    <row r="20" spans="2:12" outlineLevel="1" x14ac:dyDescent="0.2">
      <c r="B20" t="s">
        <v>53</v>
      </c>
      <c r="D20" s="15">
        <f>D8/D4</f>
        <v>7.6775431861804216E-2</v>
      </c>
      <c r="E20" s="15">
        <f t="shared" ref="E20:F20" si="16">E8/E4</f>
        <v>7.7276908923643056E-2</v>
      </c>
      <c r="F20" s="15">
        <f t="shared" si="16"/>
        <v>7.0052539404553416E-2</v>
      </c>
      <c r="G20" s="15">
        <f t="shared" si="14"/>
        <v>7.4701626730000234E-2</v>
      </c>
      <c r="H20" s="15">
        <f t="shared" si="15"/>
        <v>7.4701626730000234E-2</v>
      </c>
      <c r="I20" s="15">
        <f t="shared" si="15"/>
        <v>7.4701626730000234E-2</v>
      </c>
      <c r="J20" s="15">
        <f t="shared" si="15"/>
        <v>7.4701626730000234E-2</v>
      </c>
      <c r="K20" s="15">
        <f t="shared" si="15"/>
        <v>7.4701626730000234E-2</v>
      </c>
    </row>
    <row r="21" spans="2:12" outlineLevel="1" x14ac:dyDescent="0.2">
      <c r="B21" t="s">
        <v>25</v>
      </c>
      <c r="D21" s="12">
        <f>D10</f>
        <v>50</v>
      </c>
      <c r="E21" s="12">
        <f t="shared" ref="E21:F21" si="17">E10</f>
        <v>50</v>
      </c>
      <c r="F21" s="12">
        <f t="shared" si="17"/>
        <v>50</v>
      </c>
      <c r="G21" s="12">
        <f>F21</f>
        <v>50</v>
      </c>
      <c r="H21" s="12">
        <f t="shared" ref="H21:K21" si="18">G21</f>
        <v>50</v>
      </c>
      <c r="I21" s="12">
        <f t="shared" si="18"/>
        <v>50</v>
      </c>
      <c r="J21" s="12">
        <f t="shared" si="18"/>
        <v>50</v>
      </c>
      <c r="K21" s="12">
        <f t="shared" si="18"/>
        <v>50</v>
      </c>
    </row>
    <row r="22" spans="2:12" outlineLevel="1" x14ac:dyDescent="0.2">
      <c r="B22" t="s">
        <v>54</v>
      </c>
      <c r="D22" s="67">
        <v>0.25</v>
      </c>
      <c r="E22" s="16">
        <f>D22</f>
        <v>0.25</v>
      </c>
      <c r="F22" s="16">
        <f t="shared" ref="F22:K22" si="19">E22</f>
        <v>0.25</v>
      </c>
      <c r="G22" s="16">
        <f t="shared" si="19"/>
        <v>0.25</v>
      </c>
      <c r="H22" s="16">
        <f t="shared" si="19"/>
        <v>0.25</v>
      </c>
      <c r="I22" s="16">
        <f t="shared" si="19"/>
        <v>0.25</v>
      </c>
      <c r="J22" s="16">
        <f t="shared" si="19"/>
        <v>0.25</v>
      </c>
      <c r="K22" s="16">
        <f t="shared" si="19"/>
        <v>0.25</v>
      </c>
    </row>
    <row r="25" spans="2:12" x14ac:dyDescent="0.2">
      <c r="B25" s="66" t="s">
        <v>29</v>
      </c>
      <c r="C25" s="64"/>
      <c r="D25" s="64"/>
      <c r="E25" s="64"/>
      <c r="F25" s="64"/>
      <c r="G25" s="64"/>
      <c r="H25" s="64"/>
      <c r="I25" s="64"/>
      <c r="J25" s="63"/>
      <c r="K25" s="64"/>
    </row>
    <row r="26" spans="2:12" x14ac:dyDescent="0.2">
      <c r="B26" t="s">
        <v>37</v>
      </c>
      <c r="E26" s="14"/>
      <c r="F26" s="14"/>
      <c r="G26" s="14">
        <f>G27+2%</f>
        <v>6.6892078251610795E-2</v>
      </c>
      <c r="H26" s="14">
        <f t="shared" ref="H26:K26" si="20">H27+2%</f>
        <v>6.6892078251610795E-2</v>
      </c>
      <c r="I26" s="14">
        <f t="shared" si="20"/>
        <v>6.6892078251610795E-2</v>
      </c>
      <c r="J26" s="14">
        <f t="shared" si="20"/>
        <v>6.6892078251610795E-2</v>
      </c>
      <c r="K26" s="14">
        <f t="shared" si="20"/>
        <v>6.6892078251610795E-2</v>
      </c>
    </row>
    <row r="27" spans="2:12" x14ac:dyDescent="0.2">
      <c r="B27" t="s">
        <v>55</v>
      </c>
      <c r="G27" s="15">
        <f>AVERAGE(E17:F17)</f>
        <v>4.6892078251610791E-2</v>
      </c>
      <c r="H27" s="15">
        <f>G27</f>
        <v>4.6892078251610791E-2</v>
      </c>
      <c r="I27" s="15">
        <f t="shared" ref="I27:K27" si="21">H27</f>
        <v>4.6892078251610791E-2</v>
      </c>
      <c r="J27" s="15">
        <f t="shared" si="21"/>
        <v>4.6892078251610791E-2</v>
      </c>
      <c r="K27" s="15">
        <f t="shared" si="21"/>
        <v>4.6892078251610791E-2</v>
      </c>
    </row>
    <row r="28" spans="2:12" x14ac:dyDescent="0.2">
      <c r="B28" t="s">
        <v>39</v>
      </c>
      <c r="E28" s="14"/>
      <c r="F28" s="14"/>
      <c r="G28" s="14">
        <f>G27-2%</f>
        <v>2.6892078251610791E-2</v>
      </c>
      <c r="H28" s="14">
        <f t="shared" ref="H28:K28" si="22">H27-2%</f>
        <v>2.6892078251610791E-2</v>
      </c>
      <c r="I28" s="14">
        <f t="shared" si="22"/>
        <v>2.6892078251610791E-2</v>
      </c>
      <c r="J28" s="14">
        <f t="shared" si="22"/>
        <v>2.6892078251610791E-2</v>
      </c>
      <c r="K28" s="14">
        <f t="shared" si="22"/>
        <v>2.6892078251610791E-2</v>
      </c>
    </row>
    <row r="30" spans="2:12" x14ac:dyDescent="0.2">
      <c r="C30" s="23"/>
      <c r="D30" s="59"/>
      <c r="E30" s="60"/>
      <c r="F30" s="60"/>
      <c r="G30" s="60"/>
      <c r="H30" s="59"/>
      <c r="I30" s="59"/>
      <c r="J30" s="59"/>
      <c r="K30" s="59"/>
      <c r="L30" s="59"/>
    </row>
  </sheetData>
  <sheetProtection sheet="1" objects="1" scenarios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E825-8432-2546-9B48-4F52DF0672DF}">
  <dimension ref="B2:I10"/>
  <sheetViews>
    <sheetView zoomScale="115" zoomScaleNormal="115" workbookViewId="0">
      <selection activeCell="C6" sqref="C6"/>
    </sheetView>
  </sheetViews>
  <sheetFormatPr baseColWidth="10" defaultColWidth="11.1640625" defaultRowHeight="16" x14ac:dyDescent="0.2"/>
  <cols>
    <col min="1" max="1" width="3.5" customWidth="1"/>
    <col min="2" max="2" width="21.6640625" customWidth="1"/>
    <col min="4" max="4" width="7.6640625" customWidth="1"/>
    <col min="5" max="5" width="14.83203125" bestFit="1" customWidth="1"/>
    <col min="7" max="7" width="7.5" customWidth="1"/>
    <col min="8" max="8" width="19.83203125" bestFit="1" customWidth="1"/>
    <col min="9" max="9" width="3.83203125" customWidth="1"/>
  </cols>
  <sheetData>
    <row r="2" spans="2:9" ht="37" x14ac:dyDescent="0.45">
      <c r="B2" s="3" t="str">
        <f>F6&amp;" Financial Model"</f>
        <v>Nike Financial Model</v>
      </c>
      <c r="C2" s="4"/>
      <c r="D2" s="4"/>
      <c r="E2" s="4"/>
      <c r="F2" s="4"/>
      <c r="G2" s="4"/>
      <c r="H2" s="4"/>
      <c r="I2" s="4"/>
    </row>
    <row r="4" spans="2:9" x14ac:dyDescent="0.2">
      <c r="B4" s="1" t="s">
        <v>12</v>
      </c>
      <c r="C4" s="2"/>
      <c r="E4" s="1" t="s">
        <v>0</v>
      </c>
      <c r="F4" s="2"/>
      <c r="H4" s="1" t="s">
        <v>11</v>
      </c>
      <c r="I4" s="2"/>
    </row>
    <row r="5" spans="2:9" ht="9" customHeight="1" x14ac:dyDescent="0.2">
      <c r="B5" s="5"/>
      <c r="C5" s="6"/>
      <c r="E5" s="5"/>
      <c r="F5" s="6"/>
      <c r="H5" s="5"/>
      <c r="I5" s="6"/>
    </row>
    <row r="6" spans="2:9" x14ac:dyDescent="0.2">
      <c r="B6" t="s">
        <v>10</v>
      </c>
      <c r="C6" s="9">
        <v>3</v>
      </c>
      <c r="E6" t="s">
        <v>1</v>
      </c>
      <c r="F6" s="7" t="s">
        <v>35</v>
      </c>
      <c r="H6" t="s">
        <v>5</v>
      </c>
      <c r="I6" s="8"/>
    </row>
    <row r="7" spans="2:9" x14ac:dyDescent="0.2">
      <c r="E7" t="s">
        <v>14</v>
      </c>
      <c r="F7" s="7" t="s">
        <v>16</v>
      </c>
      <c r="H7" s="32" t="s">
        <v>6</v>
      </c>
    </row>
    <row r="8" spans="2:9" x14ac:dyDescent="0.2">
      <c r="B8" s="1" t="s">
        <v>13</v>
      </c>
      <c r="C8" s="2"/>
      <c r="E8" t="s">
        <v>2</v>
      </c>
      <c r="F8" s="7" t="s">
        <v>15</v>
      </c>
      <c r="H8" t="s">
        <v>7</v>
      </c>
    </row>
    <row r="9" spans="2:9" x14ac:dyDescent="0.2">
      <c r="B9" s="5"/>
      <c r="C9" s="6"/>
      <c r="E9" t="s">
        <v>3</v>
      </c>
      <c r="F9" s="11">
        <v>45870</v>
      </c>
      <c r="H9" t="s">
        <v>8</v>
      </c>
    </row>
    <row r="10" spans="2:9" x14ac:dyDescent="0.2">
      <c r="B10" t="s">
        <v>17</v>
      </c>
      <c r="C10" s="10"/>
      <c r="E10" t="s">
        <v>4</v>
      </c>
      <c r="F10" s="7" t="s">
        <v>18</v>
      </c>
      <c r="H10" t="s">
        <v>9</v>
      </c>
    </row>
  </sheetData>
  <dataValidations count="1">
    <dataValidation type="list" allowBlank="1" showInputMessage="1" showErrorMessage="1" sqref="C6" xr:uid="{B1D0707F-4DF5-493D-9C1A-95F15858D8C5}">
      <formula1>"1,2,3"</formula1>
    </dataValidation>
  </dataValidations>
  <hyperlinks>
    <hyperlink ref="H7" location="Forecast!A1" display="Income Statement" xr:uid="{D509A851-F71E-4357-80AB-4B07FDFC4763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04D8-91FB-4846-8BE3-E8AEC1CC6377}">
  <dimension ref="B2:K28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33" sqref="U33"/>
    </sheetView>
  </sheetViews>
  <sheetFormatPr baseColWidth="10" defaultColWidth="11.1640625" defaultRowHeight="16" outlineLevelRow="1" outlineLevelCol="1" x14ac:dyDescent="0.2"/>
  <cols>
    <col min="1" max="1" width="5.1640625" customWidth="1"/>
    <col min="2" max="2" width="28.83203125" bestFit="1" customWidth="1"/>
    <col min="3" max="3" width="6" customWidth="1"/>
    <col min="4" max="6" width="8.6640625" customWidth="1"/>
    <col min="7" max="11" width="8.6640625" customWidth="1" outlineLevel="1"/>
  </cols>
  <sheetData>
    <row r="2" spans="2:11" x14ac:dyDescent="0.2">
      <c r="B2" s="1" t="str">
        <f>"Income Statement of "&amp;'END Cover'!F6</f>
        <v>Income Statement of Nike</v>
      </c>
      <c r="C2" s="21"/>
      <c r="D2" s="22"/>
      <c r="E2" s="22"/>
      <c r="F2" s="22"/>
      <c r="G2" s="22"/>
      <c r="H2" s="22"/>
      <c r="I2" s="22"/>
      <c r="J2" s="22"/>
      <c r="K2" s="22"/>
    </row>
    <row r="3" spans="2:11" x14ac:dyDescent="0.2">
      <c r="B3" s="17"/>
      <c r="C3" s="18"/>
      <c r="D3" s="19">
        <v>2023</v>
      </c>
      <c r="E3" s="19">
        <f>D3+1</f>
        <v>2024</v>
      </c>
      <c r="F3" s="19">
        <f t="shared" ref="F3:K3" si="0">E3+1</f>
        <v>2025</v>
      </c>
      <c r="G3" s="20">
        <f t="shared" si="0"/>
        <v>2026</v>
      </c>
      <c r="H3" s="20">
        <f t="shared" si="0"/>
        <v>2027</v>
      </c>
      <c r="I3" s="20">
        <f t="shared" si="0"/>
        <v>2028</v>
      </c>
      <c r="J3" s="20">
        <f t="shared" si="0"/>
        <v>2029</v>
      </c>
      <c r="K3" s="20">
        <f t="shared" si="0"/>
        <v>2030</v>
      </c>
    </row>
    <row r="4" spans="2:11" x14ac:dyDescent="0.2">
      <c r="B4" t="s">
        <v>19</v>
      </c>
      <c r="C4" s="12"/>
      <c r="D4" s="27">
        <v>5210</v>
      </c>
      <c r="E4" s="27">
        <v>5435</v>
      </c>
      <c r="F4" s="27">
        <v>5710</v>
      </c>
      <c r="G4" s="12">
        <f>F4*(1+G17)</f>
        <v>5863.553766816698</v>
      </c>
      <c r="H4" s="12">
        <f t="shared" ref="H4:K4" si="1">G4*(1+H17)</f>
        <v>6021.2369135464605</v>
      </c>
      <c r="I4" s="12">
        <f t="shared" si="1"/>
        <v>6183.1604877970403</v>
      </c>
      <c r="J4" s="12">
        <f t="shared" si="1"/>
        <v>6349.4385234771471</v>
      </c>
      <c r="K4" s="12">
        <f t="shared" si="1"/>
        <v>6520.1881211042873</v>
      </c>
    </row>
    <row r="5" spans="2:11" x14ac:dyDescent="0.2">
      <c r="B5" t="s">
        <v>20</v>
      </c>
      <c r="C5" s="12"/>
      <c r="D5" s="27">
        <v>3345</v>
      </c>
      <c r="E5" s="27">
        <v>3350</v>
      </c>
      <c r="F5" s="27">
        <v>3551</v>
      </c>
      <c r="G5" s="12">
        <f>G18*G4</f>
        <v>3675.0826145424262</v>
      </c>
      <c r="H5" s="12">
        <f t="shared" ref="H5:K5" si="2">H18*H4</f>
        <v>3773.9132237938361</v>
      </c>
      <c r="I5" s="12">
        <f t="shared" si="2"/>
        <v>3875.4015935228895</v>
      </c>
      <c r="J5" s="12">
        <f t="shared" si="2"/>
        <v>3979.6191964323243</v>
      </c>
      <c r="K5" s="12">
        <f t="shared" si="2"/>
        <v>4086.6394272743955</v>
      </c>
    </row>
    <row r="6" spans="2:11" x14ac:dyDescent="0.2">
      <c r="B6" s="23" t="s">
        <v>21</v>
      </c>
      <c r="C6" s="24"/>
      <c r="D6" s="28">
        <v>1865</v>
      </c>
      <c r="E6" s="28">
        <v>2085</v>
      </c>
      <c r="F6" s="28">
        <v>2159</v>
      </c>
      <c r="G6" s="24">
        <f>G4-G5</f>
        <v>2188.4711522742718</v>
      </c>
      <c r="H6" s="24">
        <f t="shared" ref="H6:K6" si="3">H4-H5</f>
        <v>2247.3236897526244</v>
      </c>
      <c r="I6" s="24">
        <f t="shared" si="3"/>
        <v>2307.7588942741509</v>
      </c>
      <c r="J6" s="24">
        <f t="shared" si="3"/>
        <v>2369.8193270448228</v>
      </c>
      <c r="K6" s="24">
        <f t="shared" si="3"/>
        <v>2433.5486938298918</v>
      </c>
    </row>
    <row r="7" spans="2:11" x14ac:dyDescent="0.2">
      <c r="B7" t="s">
        <v>22</v>
      </c>
      <c r="D7" s="29">
        <v>850</v>
      </c>
      <c r="E7" s="29">
        <v>870</v>
      </c>
      <c r="F7" s="29">
        <v>900</v>
      </c>
      <c r="G7" s="12">
        <f>G19*G4</f>
        <v>939.809622627934</v>
      </c>
      <c r="H7" s="12">
        <f t="shared" ref="H7:K7" si="4">H19*H4</f>
        <v>965.08305654126127</v>
      </c>
      <c r="I7" s="12">
        <f t="shared" si="4"/>
        <v>991.03614561707275</v>
      </c>
      <c r="J7" s="12">
        <f t="shared" si="4"/>
        <v>1017.6871671951819</v>
      </c>
      <c r="K7" s="12">
        <f t="shared" si="4"/>
        <v>1045.0548901310549</v>
      </c>
    </row>
    <row r="8" spans="2:11" x14ac:dyDescent="0.2">
      <c r="B8" t="s">
        <v>23</v>
      </c>
      <c r="C8" s="13"/>
      <c r="D8" s="30">
        <v>400</v>
      </c>
      <c r="E8" s="30">
        <v>420</v>
      </c>
      <c r="F8" s="30">
        <v>400</v>
      </c>
      <c r="G8" s="13">
        <f>G4*G20</f>
        <v>438.01700480002779</v>
      </c>
      <c r="H8" s="13">
        <f t="shared" ref="H8:K8" si="5">H4*H20</f>
        <v>449.79619236864636</v>
      </c>
      <c r="I8" s="13">
        <f t="shared" si="5"/>
        <v>461.89214677110067</v>
      </c>
      <c r="J8" s="13">
        <f t="shared" si="5"/>
        <v>474.31338652587368</v>
      </c>
      <c r="K8" s="13">
        <f t="shared" si="5"/>
        <v>487.06865923211404</v>
      </c>
    </row>
    <row r="9" spans="2:11" x14ac:dyDescent="0.2">
      <c r="B9" s="23" t="s">
        <v>24</v>
      </c>
      <c r="C9" s="24"/>
      <c r="D9" s="28">
        <v>615</v>
      </c>
      <c r="E9" s="28">
        <v>795</v>
      </c>
      <c r="F9" s="28">
        <v>859</v>
      </c>
      <c r="G9" s="24">
        <f>G6-G7-G8</f>
        <v>810.64452484631011</v>
      </c>
      <c r="H9" s="24">
        <f t="shared" ref="H9:K9" si="6">H6-H7-H8</f>
        <v>832.44444084271686</v>
      </c>
      <c r="I9" s="24">
        <f t="shared" si="6"/>
        <v>854.83060188597756</v>
      </c>
      <c r="J9" s="24">
        <f t="shared" si="6"/>
        <v>877.81877332376712</v>
      </c>
      <c r="K9" s="24">
        <f t="shared" si="6"/>
        <v>901.42514446672294</v>
      </c>
    </row>
    <row r="10" spans="2:11" x14ac:dyDescent="0.2">
      <c r="B10" t="s">
        <v>25</v>
      </c>
      <c r="C10" s="12"/>
      <c r="D10" s="27">
        <v>50</v>
      </c>
      <c r="E10" s="27">
        <v>50</v>
      </c>
      <c r="F10" s="27">
        <v>50</v>
      </c>
      <c r="G10" s="12">
        <f>G21</f>
        <v>50</v>
      </c>
      <c r="H10" s="12">
        <f t="shared" ref="H10:K10" si="7">H21</f>
        <v>50</v>
      </c>
      <c r="I10" s="12">
        <f t="shared" si="7"/>
        <v>50</v>
      </c>
      <c r="J10" s="12">
        <f t="shared" si="7"/>
        <v>50</v>
      </c>
      <c r="K10" s="12">
        <f t="shared" si="7"/>
        <v>50</v>
      </c>
    </row>
    <row r="11" spans="2:11" x14ac:dyDescent="0.2">
      <c r="B11" s="23" t="s">
        <v>26</v>
      </c>
      <c r="C11" s="24"/>
      <c r="D11" s="28">
        <v>565</v>
      </c>
      <c r="E11" s="28">
        <v>745</v>
      </c>
      <c r="F11" s="28">
        <v>809</v>
      </c>
      <c r="G11" s="24">
        <f>G9-G10</f>
        <v>760.64452484631011</v>
      </c>
      <c r="H11" s="24">
        <f t="shared" ref="H11:K11" si="8">H9-H10</f>
        <v>782.44444084271686</v>
      </c>
      <c r="I11" s="24">
        <f t="shared" si="8"/>
        <v>804.83060188597756</v>
      </c>
      <c r="J11" s="24">
        <f t="shared" si="8"/>
        <v>827.81877332376712</v>
      </c>
      <c r="K11" s="24">
        <f t="shared" si="8"/>
        <v>851.42514446672294</v>
      </c>
    </row>
    <row r="12" spans="2:11" x14ac:dyDescent="0.2">
      <c r="B12" t="s">
        <v>27</v>
      </c>
      <c r="C12" s="12"/>
      <c r="D12" s="27">
        <v>227.5</v>
      </c>
      <c r="E12" s="27">
        <v>186.25</v>
      </c>
      <c r="F12" s="27">
        <v>147.25</v>
      </c>
      <c r="G12" s="12">
        <f>G11*G22</f>
        <v>190.16113121157753</v>
      </c>
      <c r="H12" s="12">
        <f t="shared" ref="H12:K12" si="9">H11*H22</f>
        <v>195.61111021067921</v>
      </c>
      <c r="I12" s="12">
        <f t="shared" si="9"/>
        <v>201.20765047149439</v>
      </c>
      <c r="J12" s="12">
        <f t="shared" si="9"/>
        <v>206.95469333094178</v>
      </c>
      <c r="K12" s="12">
        <f t="shared" si="9"/>
        <v>212.85628611668074</v>
      </c>
    </row>
    <row r="13" spans="2:11" x14ac:dyDescent="0.2">
      <c r="B13" s="25" t="s">
        <v>28</v>
      </c>
      <c r="C13" s="26"/>
      <c r="D13" s="31">
        <v>337.5</v>
      </c>
      <c r="E13" s="31">
        <v>558.75</v>
      </c>
      <c r="F13" s="31">
        <v>661.75</v>
      </c>
      <c r="G13" s="26">
        <f>G11-G12</f>
        <v>570.48339363473258</v>
      </c>
      <c r="H13" s="26">
        <f t="shared" ref="H13:K13" si="10">H11-H12</f>
        <v>586.83333063203759</v>
      </c>
      <c r="I13" s="26">
        <f t="shared" si="10"/>
        <v>603.62295141448317</v>
      </c>
      <c r="J13" s="26">
        <f t="shared" si="10"/>
        <v>620.86407999282528</v>
      </c>
      <c r="K13" s="26">
        <f t="shared" si="10"/>
        <v>638.56885835004221</v>
      </c>
    </row>
    <row r="16" spans="2:11" x14ac:dyDescent="0.2">
      <c r="B16" s="1" t="s">
        <v>29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outlineLevel="1" x14ac:dyDescent="0.2">
      <c r="B17" t="s">
        <v>30</v>
      </c>
      <c r="D17" s="13"/>
      <c r="E17" s="15">
        <f>E4/D4-1</f>
        <v>4.3186180422264853E-2</v>
      </c>
      <c r="F17" s="15">
        <f>F4/E4-1</f>
        <v>5.059797608095673E-2</v>
      </c>
      <c r="G17" s="33">
        <f>CHOOSE('END Cover'!$C$6,'END Forecast'!G26,'END Forecast'!G27,'END Forecast'!G28)</f>
        <v>2.6892078251610791E-2</v>
      </c>
      <c r="H17" s="33">
        <f>CHOOSE('END Cover'!$C$6,'END Forecast'!H26,'END Forecast'!H27,'END Forecast'!H28)</f>
        <v>2.6892078251610791E-2</v>
      </c>
      <c r="I17" s="33">
        <f>CHOOSE('END Cover'!$C$6,'END Forecast'!I26,'END Forecast'!I27,'END Forecast'!I28)</f>
        <v>2.6892078251610791E-2</v>
      </c>
      <c r="J17" s="33">
        <f>CHOOSE('END Cover'!$C$6,'END Forecast'!J26,'END Forecast'!J27,'END Forecast'!J28)</f>
        <v>2.6892078251610791E-2</v>
      </c>
      <c r="K17" s="33">
        <f>CHOOSE('END Cover'!$C$6,'END Forecast'!K26,'END Forecast'!K27,'END Forecast'!K28)</f>
        <v>2.6892078251610791E-2</v>
      </c>
    </row>
    <row r="18" spans="2:11" outlineLevel="1" x14ac:dyDescent="0.2">
      <c r="B18" t="s">
        <v>31</v>
      </c>
      <c r="D18" s="15">
        <f>D5/D4</f>
        <v>0.64203454894433776</v>
      </c>
      <c r="E18" s="15">
        <f t="shared" ref="E18:F18" si="11">E5/E4</f>
        <v>0.6163753449862005</v>
      </c>
      <c r="F18" s="15">
        <f t="shared" si="11"/>
        <v>0.62189141856392294</v>
      </c>
      <c r="G18" s="15">
        <f>AVERAGE(D18:F18)</f>
        <v>0.6267671041648204</v>
      </c>
      <c r="H18" s="15">
        <f>G18</f>
        <v>0.6267671041648204</v>
      </c>
      <c r="I18" s="15">
        <f t="shared" ref="I18:K18" si="12">H18</f>
        <v>0.6267671041648204</v>
      </c>
      <c r="J18" s="15">
        <f t="shared" si="12"/>
        <v>0.6267671041648204</v>
      </c>
      <c r="K18" s="15">
        <f t="shared" si="12"/>
        <v>0.6267671041648204</v>
      </c>
    </row>
    <row r="19" spans="2:11" outlineLevel="1" x14ac:dyDescent="0.2">
      <c r="B19" t="s">
        <v>32</v>
      </c>
      <c r="D19" s="15">
        <f>D7/D4</f>
        <v>0.16314779270633398</v>
      </c>
      <c r="E19" s="15">
        <f t="shared" ref="E19:F19" si="13">E7/E4</f>
        <v>0.16007359705611776</v>
      </c>
      <c r="F19" s="15">
        <f t="shared" si="13"/>
        <v>0.15761821366024517</v>
      </c>
      <c r="G19" s="15">
        <f t="shared" ref="G19:G20" si="14">AVERAGE(D19:F19)</f>
        <v>0.16027986780756565</v>
      </c>
      <c r="H19" s="15">
        <f t="shared" ref="H19:K20" si="15">G19</f>
        <v>0.16027986780756565</v>
      </c>
      <c r="I19" s="15">
        <f t="shared" si="15"/>
        <v>0.16027986780756565</v>
      </c>
      <c r="J19" s="15">
        <f t="shared" si="15"/>
        <v>0.16027986780756565</v>
      </c>
      <c r="K19" s="15">
        <f t="shared" si="15"/>
        <v>0.16027986780756565</v>
      </c>
    </row>
    <row r="20" spans="2:11" outlineLevel="1" x14ac:dyDescent="0.2">
      <c r="B20" t="s">
        <v>33</v>
      </c>
      <c r="D20" s="15">
        <f>D8/D4</f>
        <v>7.6775431861804216E-2</v>
      </c>
      <c r="E20" s="15">
        <f t="shared" ref="E20:F20" si="16">E8/E4</f>
        <v>7.7276908923643056E-2</v>
      </c>
      <c r="F20" s="15">
        <f t="shared" si="16"/>
        <v>7.0052539404553416E-2</v>
      </c>
      <c r="G20" s="15">
        <f t="shared" si="14"/>
        <v>7.4701626730000234E-2</v>
      </c>
      <c r="H20" s="15">
        <f t="shared" si="15"/>
        <v>7.4701626730000234E-2</v>
      </c>
      <c r="I20" s="15">
        <f t="shared" si="15"/>
        <v>7.4701626730000234E-2</v>
      </c>
      <c r="J20" s="15">
        <f t="shared" si="15"/>
        <v>7.4701626730000234E-2</v>
      </c>
      <c r="K20" s="15">
        <f t="shared" si="15"/>
        <v>7.4701626730000234E-2</v>
      </c>
    </row>
    <row r="21" spans="2:11" outlineLevel="1" x14ac:dyDescent="0.2">
      <c r="B21" t="s">
        <v>25</v>
      </c>
      <c r="D21" s="12">
        <f>D10</f>
        <v>50</v>
      </c>
      <c r="E21" s="12">
        <f t="shared" ref="E21:F21" si="17">E10</f>
        <v>50</v>
      </c>
      <c r="F21" s="12">
        <f t="shared" si="17"/>
        <v>50</v>
      </c>
      <c r="G21" s="12">
        <f>F21</f>
        <v>50</v>
      </c>
      <c r="H21" s="12">
        <f t="shared" ref="H21:K21" si="18">G21</f>
        <v>50</v>
      </c>
      <c r="I21" s="12">
        <f t="shared" si="18"/>
        <v>50</v>
      </c>
      <c r="J21" s="12">
        <f t="shared" si="18"/>
        <v>50</v>
      </c>
      <c r="K21" s="12">
        <f t="shared" si="18"/>
        <v>50</v>
      </c>
    </row>
    <row r="22" spans="2:11" outlineLevel="1" x14ac:dyDescent="0.2">
      <c r="B22" t="s">
        <v>34</v>
      </c>
      <c r="D22" s="34">
        <v>0.25</v>
      </c>
      <c r="E22" s="16">
        <f>D22</f>
        <v>0.25</v>
      </c>
      <c r="F22" s="16">
        <f t="shared" ref="F22:K22" si="19">E22</f>
        <v>0.25</v>
      </c>
      <c r="G22" s="16">
        <f t="shared" si="19"/>
        <v>0.25</v>
      </c>
      <c r="H22" s="16">
        <f t="shared" si="19"/>
        <v>0.25</v>
      </c>
      <c r="I22" s="16">
        <f t="shared" si="19"/>
        <v>0.25</v>
      </c>
      <c r="J22" s="16">
        <f t="shared" si="19"/>
        <v>0.25</v>
      </c>
      <c r="K22" s="16">
        <f t="shared" si="19"/>
        <v>0.25</v>
      </c>
    </row>
    <row r="25" spans="2:11" x14ac:dyDescent="0.2">
      <c r="B25" s="1" t="s">
        <v>36</v>
      </c>
      <c r="C25" s="2"/>
      <c r="D25" s="2"/>
      <c r="E25" s="2"/>
      <c r="F25" s="2"/>
      <c r="G25" s="2"/>
      <c r="H25" s="2"/>
      <c r="I25" s="2"/>
      <c r="J25" s="2"/>
      <c r="K25" s="2"/>
    </row>
    <row r="26" spans="2:11" x14ac:dyDescent="0.2">
      <c r="B26" t="s">
        <v>37</v>
      </c>
      <c r="E26" s="14"/>
      <c r="F26" s="14"/>
      <c r="G26" s="14">
        <f>G27+2%</f>
        <v>6.6892078251610795E-2</v>
      </c>
      <c r="H26" s="14">
        <f t="shared" ref="H26:K26" si="20">H27+2%</f>
        <v>6.6892078251610795E-2</v>
      </c>
      <c r="I26" s="14">
        <f t="shared" si="20"/>
        <v>6.6892078251610795E-2</v>
      </c>
      <c r="J26" s="14">
        <f t="shared" si="20"/>
        <v>6.6892078251610795E-2</v>
      </c>
      <c r="K26" s="14">
        <f t="shared" si="20"/>
        <v>6.6892078251610795E-2</v>
      </c>
    </row>
    <row r="27" spans="2:11" x14ac:dyDescent="0.2">
      <c r="B27" t="s">
        <v>38</v>
      </c>
      <c r="G27" s="15">
        <f>AVERAGE(E17:F17)</f>
        <v>4.6892078251610791E-2</v>
      </c>
      <c r="H27" s="15">
        <f>G27</f>
        <v>4.6892078251610791E-2</v>
      </c>
      <c r="I27" s="15">
        <f t="shared" ref="I27:K27" si="21">H27</f>
        <v>4.6892078251610791E-2</v>
      </c>
      <c r="J27" s="15">
        <f t="shared" si="21"/>
        <v>4.6892078251610791E-2</v>
      </c>
      <c r="K27" s="15">
        <f t="shared" si="21"/>
        <v>4.6892078251610791E-2</v>
      </c>
    </row>
    <row r="28" spans="2:11" x14ac:dyDescent="0.2">
      <c r="B28" t="s">
        <v>39</v>
      </c>
      <c r="E28" s="14"/>
      <c r="F28" s="14"/>
      <c r="G28" s="14">
        <f>G27-2%</f>
        <v>2.6892078251610791E-2</v>
      </c>
      <c r="H28" s="14">
        <f t="shared" ref="H28:K28" si="22">H27-2%</f>
        <v>2.6892078251610791E-2</v>
      </c>
      <c r="I28" s="14">
        <f t="shared" si="22"/>
        <v>2.6892078251610791E-2</v>
      </c>
      <c r="J28" s="14">
        <f t="shared" si="22"/>
        <v>2.6892078251610791E-2</v>
      </c>
      <c r="K28" s="14">
        <f t="shared" si="22"/>
        <v>2.6892078251610791E-2</v>
      </c>
    </row>
  </sheetData>
  <pageMargins left="0.7" right="0.7" top="0.75" bottom="0.75" header="0.3" footer="0.3"/>
  <pageSetup paperSize="9" orientation="portrait" horizontalDpi="0" verticalDpi="0"/>
  <ignoredErrors>
    <ignoredError sqref="G12:K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START Cover</vt:lpstr>
      <vt:lpstr>START Forecast</vt:lpstr>
      <vt:lpstr>END Cover</vt:lpstr>
      <vt:lpstr>END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Ramos, Julian</cp:lastModifiedBy>
  <dcterms:created xsi:type="dcterms:W3CDTF">2025-08-31T09:06:36Z</dcterms:created>
  <dcterms:modified xsi:type="dcterms:W3CDTF">2026-10-09T03:04:58Z</dcterms:modified>
</cp:coreProperties>
</file>